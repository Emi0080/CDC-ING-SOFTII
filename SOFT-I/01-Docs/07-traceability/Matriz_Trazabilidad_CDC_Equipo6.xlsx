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tilla Principal" sheetId="1" r:id="rId4"/>
    <sheet state="visible" name="Matriz de Hallazgos" sheetId="2" r:id="rId5"/>
  </sheets>
  <definedNames>
    <definedName hidden="1" localSheetId="0" name="_xlnm._FilterDatabase">'Plantilla Principal'!$A$13:$K$61</definedName>
    <definedName hidden="1" localSheetId="1" name="_xlnm._FilterDatabase">'Matriz de Hallazgos'!$A$7:$E$44</definedName>
  </definedNames>
  <calcPr/>
  <extLst>
    <ext uri="GoogleSheetsCustomDataVersion2">
      <go:sheetsCustomData xmlns:go="http://customooxmlschemas.google.com/" r:id="rId6" roundtripDataChecksum="ncfFBiXjvBZSy8uAsHyI5E8J9rHedEmvmU1XlDkccYs="/>
    </ext>
  </extLst>
</workbook>
</file>

<file path=xl/sharedStrings.xml><?xml version="1.0" encoding="utf-8"?>
<sst xmlns="http://schemas.openxmlformats.org/spreadsheetml/2006/main" count="455" uniqueCount="233">
  <si>
    <t>MATRIZ DE TRAZABILIDAD CDC — EQUIPO 6</t>
  </si>
  <si>
    <t>Campus Digital Companion (CDC) — Ingeniería de Software, Fase 2</t>
  </si>
  <si>
    <t>Última actualización:</t>
  </si>
  <si>
    <t>EQUIPO</t>
  </si>
  <si>
    <t>RESUMEN DE ESTADOS</t>
  </si>
  <si>
    <t>CATÁLOGO DE ESTADOS</t>
  </si>
  <si>
    <t>Integrante</t>
  </si>
  <si>
    <t>Tema Asignado</t>
  </si>
  <si>
    <t>Estado</t>
  </si>
  <si>
    <t>Cantidad</t>
  </si>
  <si>
    <t>Significado</t>
  </si>
  <si>
    <t>Aaron Burac</t>
  </si>
  <si>
    <t>Requisitos EE</t>
  </si>
  <si>
    <t>Activo</t>
  </si>
  <si>
    <t>Correctamente trazado</t>
  </si>
  <si>
    <t>Daniel Bravo</t>
  </si>
  <si>
    <t>Casos de Uso</t>
  </si>
  <si>
    <t>Pendiente</t>
  </si>
  <si>
    <t>Incompleto</t>
  </si>
  <si>
    <t>Carver Sobers</t>
  </si>
  <si>
    <t>Planificación</t>
  </si>
  <si>
    <t>Inconsistente</t>
  </si>
  <si>
    <t>Relación dudosa</t>
  </si>
  <si>
    <t>Sergio Villarreal</t>
  </si>
  <si>
    <t>Historias de Usuario</t>
  </si>
  <si>
    <t>Huérfano</t>
  </si>
  <si>
    <t>No tiene origen o destino</t>
  </si>
  <si>
    <t>Duplicado</t>
  </si>
  <si>
    <t>Existe más de una vez</t>
  </si>
  <si>
    <t>ID Objetivo</t>
  </si>
  <si>
    <t>Objetivo Estratégico</t>
  </si>
  <si>
    <t>ID Req.</t>
  </si>
  <si>
    <t>Requisito</t>
  </si>
  <si>
    <t>ID CU</t>
  </si>
  <si>
    <t>Caso de Uso</t>
  </si>
  <si>
    <t>ID HU</t>
  </si>
  <si>
    <t>Historia de Usuario</t>
  </si>
  <si>
    <t>Backlog/Issue</t>
  </si>
  <si>
    <t>Observaciones</t>
  </si>
  <si>
    <t>OBJ-01</t>
  </si>
  <si>
    <t>Garantizar el acceso seguro mediante autenticación institucional</t>
  </si>
  <si>
    <t>RF-01</t>
  </si>
  <si>
    <t>Autenticación Unificada mediante Credenciales Institucionales</t>
  </si>
  <si>
    <t>Se conecta mediante Web Services/APIs institucionales provistos por el área de soporte técnico</t>
  </si>
  <si>
    <t>RNF-008</t>
  </si>
  <si>
    <t>Integridad de datos</t>
  </si>
  <si>
    <t>Existen reportes de registros duplicados</t>
  </si>
  <si>
    <t>RNF-014</t>
  </si>
  <si>
    <t>Interoperabilidad con sistemas externos</t>
  </si>
  <si>
    <t>Cubre Moodle, Google Calendar y calendarios institucionales</t>
  </si>
  <si>
    <t>RNF-017</t>
  </si>
  <si>
    <t>Compatibilidad con información histórica</t>
  </si>
  <si>
    <t>Falta esquema de datos e inventario</t>
  </si>
  <si>
    <t>OBJ-02</t>
  </si>
  <si>
    <t>Centralizar la información académica en una única plataforma integrada</t>
  </si>
  <si>
    <t>RF-02</t>
  </si>
  <si>
    <t>Sincronización Automatizada de Perfil e Historial Académico</t>
  </si>
  <si>
    <t>Evita la carga manual de asignaturas por parte del estudiante, eliminando errores de registro</t>
  </si>
  <si>
    <t>RF-05</t>
  </si>
  <si>
    <t>Consolidación y Centralización de Agenda Maestra</t>
  </si>
  <si>
    <t>Este motor de unificación sienta las bases para las integraciones automáticas planificadas a mediano plazo con Moodle y Google Calendar</t>
  </si>
  <si>
    <t>RST-001</t>
  </si>
  <si>
    <t>Integración obligatoria con Moodle</t>
  </si>
  <si>
    <t>Restricción tecnológica</t>
  </si>
  <si>
    <t>RST-002</t>
  </si>
  <si>
    <t>Integración con Google Calendar</t>
  </si>
  <si>
    <t>Requiere APIs externas</t>
  </si>
  <si>
    <t>RST-004</t>
  </si>
  <si>
    <t>Uso de calendarios institucionales</t>
  </si>
  <si>
    <t>No pueden crearse calendarios paralelos</t>
  </si>
  <si>
    <t>RST-006</t>
  </si>
  <si>
    <t>CDC no reemplaza Moodle ni Google Calendar</t>
  </si>
  <si>
    <t>Restricción de negocio</t>
  </si>
  <si>
    <t>RST-011</t>
  </si>
  <si>
    <t>Restricción tecnológica. Idéntica a RST-001</t>
  </si>
  <si>
    <t>OBJ-03</t>
  </si>
  <si>
    <t>Mejorar la experiencia de usuario mediante una interfaz intuitiva y unificada</t>
  </si>
  <si>
    <t>RF-03</t>
  </si>
  <si>
    <t>Despliegue de Dashboard Académico Unificado</t>
  </si>
  <si>
    <r>
      <rPr>
        <rFont val="Arial"/>
        <i/>
        <color rgb="FF595959"/>
        <sz val="10.0"/>
      </rPr>
      <t xml:space="preserve">Debe cumplir con diseño responsivo para soportar smartphones y tablets nativamente. </t>
    </r>
    <r>
      <rPr>
        <rFont val="Arial"/>
        <b/>
        <i/>
        <color rgb="FFFF0000"/>
        <sz val="10.0"/>
      </rPr>
      <t>Nota: Fuente vacía en el documento original</t>
    </r>
  </si>
  <si>
    <t>RNF-001</t>
  </si>
  <si>
    <t>Usabilidad de flujos críticos</t>
  </si>
  <si>
    <t>Máximo 3 pasos para acciones frecuentes</t>
  </si>
  <si>
    <t>RNF-004</t>
  </si>
  <si>
    <t>Acceso móvil</t>
  </si>
  <si>
    <t>No define si es app nativa, responsive o PWA</t>
  </si>
  <si>
    <t>RNF-005</t>
  </si>
  <si>
    <t>Adaptación a tablets</t>
  </si>
  <si>
    <t>No aparece como REQ explícito, pero sí como restricción/problema</t>
  </si>
  <si>
    <t>RNF-019</t>
  </si>
  <si>
    <t>Accesibilidad de la interfaz</t>
  </si>
  <si>
    <t>Cumplir WCAG 2.1 nivel AA</t>
  </si>
  <si>
    <t>OBJ-04</t>
  </si>
  <si>
    <t>Facilitar la planificación y gestión de actividades académicas</t>
  </si>
  <si>
    <t>RF-04</t>
  </si>
  <si>
    <t>Registro Manual de Tareas Personales</t>
  </si>
  <si>
    <t>Tras procesarse, el flujo redirige al usuario de vuelta a la vista actualizada del Dashboard</t>
  </si>
  <si>
    <t>RF-06</t>
  </si>
  <si>
    <t>Consulta Interactiva de Eventos Programados</t>
  </si>
  <si>
    <t>La consulta lee directamente la base de datos local unificada en caché para evitar tráfico innecesario</t>
  </si>
  <si>
    <t>RNF-002</t>
  </si>
  <si>
    <t>Rendimiento en uso normal</t>
  </si>
  <si>
    <t>Debe definirse "condición normal" con volumen de usuarios</t>
  </si>
  <si>
    <t>RNF-003</t>
  </si>
  <si>
    <t>Rendimiento en alta demanda</t>
  </si>
  <si>
    <t>Falta arquitectura para estimar capacidad real</t>
  </si>
  <si>
    <t>RNF-009</t>
  </si>
  <si>
    <t>Disponibilidad y continuidad del piloto</t>
  </si>
  <si>
    <t>No hay pipeline ni entorno reproducible</t>
  </si>
  <si>
    <t>RNF-016</t>
  </si>
  <si>
    <t>Relevancia configurable de notificaciones</t>
  </si>
  <si>
    <t>Notificaciones personalizables por el estudiante</t>
  </si>
  <si>
    <t>OBJ-05</t>
  </si>
  <si>
    <t>Disminuir el incumplimiento de tareas mediante recordatorios automáticos</t>
  </si>
  <si>
    <t>RF-07</t>
  </si>
  <si>
    <t>Monitoreo Automatizado y Verificación Asíncrona de Tiempos</t>
  </si>
  <si>
    <r>
      <rPr>
        <rFont val="Arial"/>
        <i/>
        <color rgb="FF595959"/>
        <sz val="10.0"/>
      </rPr>
      <t xml:space="preserve">Este proceso corre en segundo plano de forma asíncrona, no interrumpe el uso ordinario de la app. </t>
    </r>
    <r>
      <rPr>
        <rFont val="Arial"/>
        <b/>
        <i/>
        <color rgb="FFFF0000"/>
        <sz val="10.0"/>
      </rPr>
      <t>Nota: Fuente vacía y ID tiene un error de tipeo, aparece como RT-07 en el documento.</t>
    </r>
  </si>
  <si>
    <t>RF-08</t>
  </si>
  <si>
    <t>Despacho de Notificaciones Push Contextuales</t>
  </si>
  <si>
    <t>Requiere que el token de notificaciones push del dispositivo esté activo y con permisos concedidos en iOS/Android</t>
  </si>
  <si>
    <t>RNF-006</t>
  </si>
  <si>
    <t>Protección de datos personales</t>
  </si>
  <si>
    <t>Faltan políticas concretas y controles verificables</t>
  </si>
  <si>
    <t>RNF-007</t>
  </si>
  <si>
    <t>Controles de seguridad modernos</t>
  </si>
  <si>
    <t>Especificar estándar: OWASP, ISO 27001 u otro</t>
  </si>
  <si>
    <t>OBJ-06</t>
  </si>
  <si>
    <t>Garantizar la evolución y sostenibilidad de la plataforma</t>
  </si>
  <si>
    <t>RNF-010</t>
  </si>
  <si>
    <t>Mantenibilidad arquitectónica</t>
  </si>
  <si>
    <t>No hay diagramas ni código fuente disponible</t>
  </si>
  <si>
    <t>RNF-011</t>
  </si>
  <si>
    <t>Trazabilidad de requisitos</t>
  </si>
  <si>
    <t>Requisito transversal para todos los RF</t>
  </si>
  <si>
    <t>RNF-012</t>
  </si>
  <si>
    <t>Verificabilidad mediante criterios de aceptación</t>
  </si>
  <si>
    <t>Aplica a RF y RNF</t>
  </si>
  <si>
    <t>RNF-013</t>
  </si>
  <si>
    <t>Pruebas automatizadas</t>
  </si>
  <si>
    <t>No verificable porque el repositorio no contiene código.</t>
  </si>
  <si>
    <t>RNF-015</t>
  </si>
  <si>
    <t>Métricas de producto y uso</t>
  </si>
  <si>
    <t>Alinearse con RNF-006 de privacidad</t>
  </si>
  <si>
    <t>RNF-018</t>
  </si>
  <si>
    <t>Control de cambios y despliegue seguro</t>
  </si>
  <si>
    <t>Hubo cambios directos sobre producción piloto</t>
  </si>
  <si>
    <t>Sin OBJ definido</t>
  </si>
  <si>
    <t>—</t>
  </si>
  <si>
    <t>RST-003</t>
  </si>
  <si>
    <t>Implica migración de datos.</t>
  </si>
  <si>
    <t>RST-005</t>
  </si>
  <si>
    <t>Fuera del alcance: Gestión financiera</t>
  </si>
  <si>
    <t>Evita crecimiento del alcance.</t>
  </si>
  <si>
    <t>RST-007</t>
  </si>
  <si>
    <t>IA avanzada fuera del alcance inicial</t>
  </si>
  <si>
    <t>Desarrollo futuro.</t>
  </si>
  <si>
    <t>RST-008</t>
  </si>
  <si>
    <t>Mentorías fuera del alcance inicial</t>
  </si>
  <si>
    <t>Se implementará posteriormente.</t>
  </si>
  <si>
    <t>RST-009</t>
  </si>
  <si>
    <t>Espacios colaborativos fuera del alcance</t>
  </si>
  <si>
    <t>Reduce el alcance de la primera versión. Evolución futura.</t>
  </si>
  <si>
    <t>RST-010</t>
  </si>
  <si>
    <t>Portal para egresados fuera del alcance</t>
  </si>
  <si>
    <t>No pertenece al MVP del sistema. Se evaluará posteriormente.</t>
  </si>
  <si>
    <t>MATRIZ DE HALLAZGOS DE TRAZABILIDAD — EQUIPO 6</t>
  </si>
  <si>
    <t>LEYENDA DE TIPOS</t>
  </si>
  <si>
    <t>Problemas detectados al cruzar objetivos, requisitos, casos de uso, historias y backlog</t>
  </si>
  <si>
    <t>Sin origen o destino</t>
  </si>
  <si>
    <t>Duplicidad</t>
  </si>
  <si>
    <t>Inconsistencia</t>
  </si>
  <si>
    <t>Vacío</t>
  </si>
  <si>
    <t>Sin requisitos/objetivos asociados</t>
  </si>
  <si>
    <t>ID</t>
  </si>
  <si>
    <t>Tipo</t>
  </si>
  <si>
    <t>Elemento</t>
  </si>
  <si>
    <t>Descripción</t>
  </si>
  <si>
    <t>Acción Recomendada</t>
  </si>
  <si>
    <t>HT-01</t>
  </si>
  <si>
    <t>RST-001 y RST-011</t>
  </si>
  <si>
    <t>Son exactamente iguales: mismo nombre, descripción, fuente y trazabilidad. No fue corregido en esta versión</t>
  </si>
  <si>
    <t>Solicitar a Equipo 5 que elimine RST-011</t>
  </si>
  <si>
    <t>HT-02</t>
  </si>
  <si>
    <t>El propio Equipo 5 indica en Observaciones que no tiene RF explícito asociado</t>
  </si>
  <si>
    <t>Equipo 5 debe asociarlo a un RF o justificar su existencia</t>
  </si>
  <si>
    <t>HT-03</t>
  </si>
  <si>
    <t>RNF-001 al RNF-007</t>
  </si>
  <si>
    <t>La columna Trazabilidad todavía menciona los IDs como REQ-017, REQ-018, REQ-025 que no existen en ninguna tabla del documento</t>
  </si>
  <si>
    <t>Equipo 5 debe limpiar esas referencias o aclarar a qué artefacto pertenecen</t>
  </si>
  <si>
    <t>HT-04</t>
  </si>
  <si>
    <t>Tabla RF (requisitos funcionales) vs Documento de Visión</t>
  </si>
  <si>
    <t>Equipo 5 usa OBJ-01 a OBJ-06 pero el Documento de Visión CDC define OE-01 a OE-04. Los IDs no coinciden ni en nombre ni en cantidad</t>
  </si>
  <si>
    <t>Acordar con todos los equipos cuál nomenclatura es la oficial</t>
  </si>
  <si>
    <t>HT-05</t>
  </si>
  <si>
    <t>El ID aparece como "RT-07", cuando la secuencia  real es RF-01, RF-02, RF-03, RF-04, RF-05, etc. Tiene un error de tipeo que rompe la conexión.</t>
  </si>
  <si>
    <t>Equipo 5 debe corregir el ID a RF-07</t>
  </si>
  <si>
    <t>HT-06</t>
  </si>
  <si>
    <t>Tabla RST</t>
  </si>
  <si>
    <t>La tabla de Restricciones no tiene columna de Objetivo Estratégico, a diferencia de RF y RNF. Varias restricciones tienen trazabilidad vaga como "Objetivo de Evolución" u "OE IA" sin ID formal</t>
  </si>
  <si>
    <t>Equipo 5 debe agregar columna de Objetivo Estratégico a la tabla RST y estandarizar los IDs</t>
  </si>
  <si>
    <t>HT-07</t>
  </si>
  <si>
    <t>Casos de Uso (Equipo 1 y 2) e Historias de Usuario (Equipo 3 y 4)</t>
  </si>
  <si>
    <t xml:space="preserve">Ambos documentos no indican a qué objetivo estratégico está conectado cada elemento. </t>
  </si>
  <si>
    <t xml:space="preserve">Solicitar a Equipos 1, 2, 3 y 4 que agreguen la columna o referencia de objetivo estratégico antes de aprobar sus PR. Y así poder continuar con la plantilla de trazabilidad. </t>
  </si>
  <si>
    <t>HU-R1-01</t>
  </si>
  <si>
    <t>Historias de Usuario (Equipo 3 y 4)</t>
  </si>
  <si>
    <t>El documento suministrado no presenta un objetivo al que responde la historia de usuario, unicamente la descripción de la Historia de Usuario y sus criterios de aprovación</t>
  </si>
  <si>
    <t>Revisar origen</t>
  </si>
  <si>
    <t>HU-R1-02</t>
  </si>
  <si>
    <t>HU-R1-03</t>
  </si>
  <si>
    <t>HU-R2-01</t>
  </si>
  <si>
    <t>HU-R2-02</t>
  </si>
  <si>
    <t>HU-R2-03</t>
  </si>
  <si>
    <t>HU-R2-04</t>
  </si>
  <si>
    <t>HU-R2-05</t>
  </si>
  <si>
    <t>HU-R2-06</t>
  </si>
  <si>
    <t>HU-R2-07</t>
  </si>
  <si>
    <t>HU-R2-08</t>
  </si>
  <si>
    <t>HU-R2-09</t>
  </si>
  <si>
    <t>HU-R3-01</t>
  </si>
  <si>
    <t>HU-R3-02</t>
  </si>
  <si>
    <t>HU-R3-03</t>
  </si>
  <si>
    <t>HU-R3-04</t>
  </si>
  <si>
    <t>HU-R6-01</t>
  </si>
  <si>
    <t>HU-R6-02</t>
  </si>
  <si>
    <t>HU-R6-03</t>
  </si>
  <si>
    <t>HU-R4-01</t>
  </si>
  <si>
    <t>HU-R4-02</t>
  </si>
  <si>
    <t>HU-R4-03</t>
  </si>
  <si>
    <t>HU-R4-04</t>
  </si>
  <si>
    <t>HU-R5-01</t>
  </si>
  <si>
    <t>HU-R5-02</t>
  </si>
  <si>
    <t>HU-R5-03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</si>
</sst>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9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1.0"/>
      <color rgb="FF404040"/>
      <name val="Arial"/>
    </font>
    <font>
      <b/>
      <sz val="9.0"/>
      <color theme="1"/>
      <name val="Arial"/>
    </font>
    <font>
      <sz val="9.0"/>
      <color theme="1"/>
      <name val="Arial"/>
    </font>
    <font>
      <b/>
      <sz val="11.0"/>
      <color rgb="FFFFFFFF"/>
      <name val="Arial"/>
    </font>
    <font>
      <b/>
      <sz val="10.0"/>
      <color theme="1"/>
      <name val="Arial"/>
    </font>
    <font>
      <sz val="10.0"/>
      <color theme="1"/>
      <name val="Arial"/>
    </font>
    <font>
      <i/>
      <sz val="10.0"/>
      <color rgb="FF808080"/>
      <name val="Arial"/>
    </font>
    <font>
      <b/>
      <sz val="10.0"/>
      <color rgb="FFFFFFFF"/>
      <name val="Arial"/>
    </font>
    <font>
      <i/>
      <sz val="10.0"/>
      <color rgb="FF595959"/>
      <name val="Arial"/>
    </font>
    <font>
      <i/>
      <sz val="10.0"/>
      <color theme="1"/>
      <name val="Calibri"/>
    </font>
    <font>
      <i/>
      <sz val="10.0"/>
      <color rgb="FF666666"/>
      <name val="Arial"/>
    </font>
    <font>
      <i/>
      <sz val="10.0"/>
      <color rgb="FF434343"/>
      <name val="Arial"/>
    </font>
    <font>
      <b/>
      <sz val="14.0"/>
      <color rgb="FFFFFFFF"/>
      <name val="Arial"/>
    </font>
    <font>
      <i/>
      <sz val="10.0"/>
      <color rgb="FF404040"/>
      <name val="Arial"/>
    </font>
    <font>
      <i/>
      <sz val="10.0"/>
      <color theme="1"/>
      <name val="Arial"/>
    </font>
    <font>
      <sz val="11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C6E0B4"/>
        <bgColor rgb="FFC6E0B4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F4A6A6"/>
        <bgColor rgb="FFF4A6A6"/>
      </patternFill>
    </fill>
    <fill>
      <patternFill patternType="solid">
        <fgColor rgb="FFD9B3FF"/>
        <bgColor rgb="FFD9B3FF"/>
      </patternFill>
    </fill>
    <fill>
      <patternFill patternType="solid">
        <fgColor rgb="FFD9D9D9"/>
        <bgColor rgb="FFD9D9D9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Font="1"/>
    <xf borderId="0" fillId="0" fontId="5" numFmtId="164" xfId="0" applyFont="1" applyNumberFormat="1"/>
    <xf borderId="1" fillId="3" fontId="6" numFmtId="0" xfId="0" applyAlignment="1" applyBorder="1" applyFill="1" applyFont="1">
      <alignment horizontal="center" vertical="center"/>
    </xf>
    <xf borderId="4" fillId="4" fontId="7" numFmtId="0" xfId="0" applyAlignment="1" applyBorder="1" applyFill="1" applyFont="1">
      <alignment horizontal="center" vertical="center"/>
    </xf>
    <xf borderId="5" fillId="4" fontId="7" numFmtId="0" xfId="0" applyAlignment="1" applyBorder="1" applyFont="1">
      <alignment horizontal="center" vertical="center"/>
    </xf>
    <xf borderId="6" fillId="0" fontId="2" numFmtId="0" xfId="0" applyBorder="1" applyFont="1"/>
    <xf borderId="4" fillId="0" fontId="8" numFmtId="0" xfId="0" applyBorder="1" applyFont="1"/>
    <xf borderId="5" fillId="0" fontId="9" numFmtId="0" xfId="0" applyAlignment="1" applyBorder="1" applyFont="1">
      <alignment horizontal="left" vertical="center"/>
    </xf>
    <xf borderId="4" fillId="5" fontId="8" numFmtId="0" xfId="0" applyBorder="1" applyFill="1" applyFont="1"/>
    <xf borderId="5" fillId="0" fontId="8" numFmtId="0" xfId="0" applyAlignment="1" applyBorder="1" applyFont="1">
      <alignment horizontal="center"/>
    </xf>
    <xf borderId="5" fillId="0" fontId="8" numFmtId="0" xfId="0" applyBorder="1" applyFont="1"/>
    <xf borderId="4" fillId="6" fontId="8" numFmtId="0" xfId="0" applyBorder="1" applyFill="1" applyFont="1"/>
    <xf borderId="4" fillId="7" fontId="8" numFmtId="0" xfId="0" applyBorder="1" applyFill="1" applyFont="1"/>
    <xf borderId="4" fillId="8" fontId="8" numFmtId="0" xfId="0" applyBorder="1" applyFill="1" applyFont="1"/>
    <xf borderId="4" fillId="9" fontId="8" numFmtId="0" xfId="0" applyBorder="1" applyFill="1" applyFont="1"/>
    <xf borderId="4" fillId="3" fontId="10" numFmtId="0" xfId="0" applyAlignment="1" applyBorder="1" applyFont="1">
      <alignment horizontal="center" shrinkToFit="0" vertical="center" wrapText="1"/>
    </xf>
    <xf borderId="4" fillId="0" fontId="11" numFmtId="0" xfId="0" applyAlignment="1" applyBorder="1" applyFont="1">
      <alignment vertical="top"/>
    </xf>
    <xf borderId="4" fillId="0" fontId="11" numFmtId="0" xfId="0" applyAlignment="1" applyBorder="1" applyFont="1">
      <alignment shrinkToFit="0" vertical="top" wrapText="1"/>
    </xf>
    <xf borderId="4" fillId="0" fontId="11" numFmtId="0" xfId="0" applyAlignment="1" applyBorder="1" applyFont="1">
      <alignment readingOrder="0" shrinkToFit="0" vertical="top" wrapText="1"/>
    </xf>
    <xf borderId="4" fillId="0" fontId="11" numFmtId="0" xfId="0" applyAlignment="1" applyBorder="1" applyFont="1">
      <alignment readingOrder="0" vertical="top"/>
    </xf>
    <xf borderId="4" fillId="0" fontId="12" numFmtId="0" xfId="0" applyAlignment="1" applyBorder="1" applyFont="1">
      <alignment vertical="top"/>
    </xf>
    <xf borderId="4" fillId="0" fontId="12" numFmtId="0" xfId="0" applyAlignment="1" applyBorder="1" applyFont="1">
      <alignment shrinkToFit="0" vertical="top" wrapText="1"/>
    </xf>
    <xf borderId="4" fillId="0" fontId="13" numFmtId="0" xfId="0" applyAlignment="1" applyBorder="1" applyFont="1">
      <alignment vertical="top"/>
    </xf>
    <xf borderId="4" fillId="0" fontId="13" numFmtId="0" xfId="0" applyAlignment="1" applyBorder="1" applyFont="1">
      <alignment shrinkToFit="0" vertical="top" wrapText="1"/>
    </xf>
    <xf borderId="4" fillId="0" fontId="13" numFmtId="0" xfId="0" applyAlignment="1" applyBorder="1" applyFont="1">
      <alignment readingOrder="0" shrinkToFit="0" vertical="top" wrapText="1"/>
    </xf>
    <xf borderId="4" fillId="0" fontId="14" numFmtId="0" xfId="0" applyAlignment="1" applyBorder="1" applyFont="1">
      <alignment shrinkToFit="0" vertical="top" wrapText="1"/>
    </xf>
    <xf borderId="1" fillId="2" fontId="15" numFmtId="0" xfId="0" applyAlignment="1" applyBorder="1" applyFont="1">
      <alignment horizontal="center" vertical="center"/>
    </xf>
    <xf borderId="0" fillId="0" fontId="16" numFmtId="0" xfId="0" applyAlignment="1" applyFont="1">
      <alignment horizontal="center"/>
    </xf>
    <xf borderId="4" fillId="8" fontId="5" numFmtId="0" xfId="0" applyBorder="1" applyFont="1"/>
    <xf borderId="4" fillId="0" fontId="5" numFmtId="0" xfId="0" applyAlignment="1" applyBorder="1" applyFont="1">
      <alignment shrinkToFit="0" wrapText="1"/>
    </xf>
    <xf borderId="4" fillId="9" fontId="5" numFmtId="0" xfId="0" applyBorder="1" applyFont="1"/>
    <xf borderId="4" fillId="7" fontId="5" numFmtId="0" xfId="0" applyBorder="1" applyFont="1"/>
    <xf borderId="4" fillId="10" fontId="5" numFmtId="0" xfId="0" applyBorder="1" applyFill="1" applyFont="1"/>
    <xf borderId="4" fillId="0" fontId="17" numFmtId="0" xfId="0" applyAlignment="1" applyBorder="1" applyFont="1">
      <alignment vertical="top"/>
    </xf>
    <xf borderId="4" fillId="0" fontId="17" numFmtId="0" xfId="0" applyAlignment="1" applyBorder="1" applyFont="1">
      <alignment shrinkToFit="0" vertical="top" wrapText="1"/>
    </xf>
    <xf borderId="4" fillId="0" fontId="17" numFmtId="0" xfId="0" applyAlignment="1" applyBorder="1" applyFont="1">
      <alignment readingOrder="0" shrinkToFit="0" vertical="top" wrapText="1"/>
    </xf>
    <xf borderId="4" fillId="0" fontId="17" numFmtId="0" xfId="0" applyAlignment="1" applyBorder="1" applyFont="1">
      <alignment readingOrder="0" vertical="top"/>
    </xf>
    <xf borderId="7" fillId="0" fontId="18" numFmtId="0" xfId="0" applyAlignment="1" applyBorder="1" applyFont="1">
      <alignment shrinkToFit="0" vertical="top" wrapText="1"/>
    </xf>
    <xf borderId="4" fillId="0" fontId="18" numFmtId="0" xfId="0" applyAlignment="1" applyBorder="1" applyFont="1">
      <alignment readingOrder="0" vertical="top"/>
    </xf>
    <xf borderId="4" fillId="0" fontId="18" numFmtId="0" xfId="0" applyAlignment="1" applyBorder="1" applyFont="1">
      <alignment readingOrder="0" shrinkToFit="0" vertical="top" wrapText="1"/>
    </xf>
    <xf borderId="4" fillId="0" fontId="18" numFmtId="0" xfId="0" applyAlignment="1" applyBorder="1" applyFont="1">
      <alignment vertical="top"/>
    </xf>
    <xf borderId="4" fillId="0" fontId="18" numFmtId="0" xfId="0" applyAlignment="1" applyBorder="1" applyFont="1">
      <alignment shrinkToFit="0" vertical="top" wrapText="1"/>
    </xf>
  </cellXfs>
  <cellStyles count="1">
    <cellStyle xfId="0" name="Normal" builtinId="0"/>
  </cellStyles>
  <dxfs count="6">
    <dxf>
      <font/>
      <fill>
        <patternFill patternType="solid">
          <fgColor rgb="FFC6E0B4"/>
          <bgColor rgb="FFC6E0B4"/>
        </patternFill>
      </fill>
      <border/>
    </dxf>
    <dxf>
      <font/>
      <fill>
        <patternFill patternType="solid">
          <fgColor rgb="FFFFE699"/>
          <bgColor rgb="FFFFE699"/>
        </patternFill>
      </fill>
      <border/>
    </dxf>
    <dxf>
      <font/>
      <fill>
        <patternFill patternType="solid">
          <fgColor rgb="FFF8CBAD"/>
          <bgColor rgb="FFF8CBAD"/>
        </patternFill>
      </fill>
      <border/>
    </dxf>
    <dxf>
      <font/>
      <fill>
        <patternFill patternType="solid">
          <fgColor rgb="FFF4A6A6"/>
          <bgColor rgb="FFF4A6A6"/>
        </patternFill>
      </fill>
      <border/>
    </dxf>
    <dxf>
      <font/>
      <fill>
        <patternFill patternType="solid">
          <fgColor rgb="FFD9B3FF"/>
          <bgColor rgb="FFD9B3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2F5496"/>
    <pageSetUpPr/>
  </sheetPr>
  <sheetViews>
    <sheetView showGridLines="0" workbookViewId="0">
      <pane ySplit="13.0" topLeftCell="A14" activePane="bottomLeft" state="frozen"/>
      <selection activeCell="B15" sqref="B15" pane="bottomLeft"/>
    </sheetView>
  </sheetViews>
  <sheetFormatPr customHeight="1" defaultColWidth="14.43" defaultRowHeight="15.0"/>
  <cols>
    <col customWidth="1" min="1" max="1" width="20.57"/>
    <col customWidth="1" min="2" max="2" width="26.0"/>
    <col customWidth="1" min="3" max="3" width="10.0"/>
    <col customWidth="1" min="4" max="4" width="26.0"/>
    <col customWidth="1" min="5" max="5" width="9.0"/>
    <col customWidth="1" min="6" max="6" width="22.0"/>
    <col customWidth="1" min="7" max="7" width="9.0"/>
    <col customWidth="1" min="8" max="8" width="30.0"/>
    <col customWidth="1" min="9" max="9" width="13.0"/>
    <col customWidth="1" min="10" max="10" width="15.0"/>
    <col customWidth="1" min="11" max="11" width="24.0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>
      <c r="A2" s="4" t="s">
        <v>1</v>
      </c>
    </row>
    <row r="3">
      <c r="A3" s="5" t="s">
        <v>2</v>
      </c>
      <c r="B3" s="6">
        <f>TODAY()</f>
        <v>46206</v>
      </c>
    </row>
    <row r="5">
      <c r="A5" s="7" t="s">
        <v>3</v>
      </c>
      <c r="B5" s="2"/>
      <c r="C5" s="3"/>
      <c r="E5" s="7" t="s">
        <v>4</v>
      </c>
      <c r="F5" s="2"/>
      <c r="G5" s="3"/>
      <c r="I5" s="7" t="s">
        <v>5</v>
      </c>
      <c r="J5" s="2"/>
      <c r="K5" s="3"/>
    </row>
    <row r="6">
      <c r="A6" s="8" t="s">
        <v>6</v>
      </c>
      <c r="B6" s="9" t="s">
        <v>7</v>
      </c>
      <c r="C6" s="10"/>
      <c r="E6" s="8" t="s">
        <v>8</v>
      </c>
      <c r="F6" s="9" t="s">
        <v>9</v>
      </c>
      <c r="G6" s="10"/>
      <c r="I6" s="8" t="s">
        <v>8</v>
      </c>
      <c r="J6" s="9" t="s">
        <v>10</v>
      </c>
      <c r="K6" s="10"/>
    </row>
    <row r="7">
      <c r="A7" s="11" t="s">
        <v>11</v>
      </c>
      <c r="B7" s="12" t="s">
        <v>12</v>
      </c>
      <c r="C7" s="10"/>
      <c r="E7" s="13" t="s">
        <v>13</v>
      </c>
      <c r="F7" s="14">
        <f>COUNTIF(J14:J61,"Activo")</f>
        <v>0</v>
      </c>
      <c r="G7" s="10"/>
      <c r="I7" s="13" t="s">
        <v>13</v>
      </c>
      <c r="J7" s="15" t="s">
        <v>14</v>
      </c>
      <c r="K7" s="10"/>
    </row>
    <row r="8">
      <c r="A8" s="11" t="s">
        <v>15</v>
      </c>
      <c r="B8" s="12" t="s">
        <v>16</v>
      </c>
      <c r="C8" s="10"/>
      <c r="E8" s="16" t="s">
        <v>17</v>
      </c>
      <c r="F8" s="14">
        <f>COUNTIF(J14:J61,"Pendiente")</f>
        <v>36</v>
      </c>
      <c r="G8" s="10"/>
      <c r="I8" s="16" t="s">
        <v>17</v>
      </c>
      <c r="J8" s="15" t="s">
        <v>18</v>
      </c>
      <c r="K8" s="10"/>
    </row>
    <row r="9">
      <c r="A9" s="11" t="s">
        <v>19</v>
      </c>
      <c r="B9" s="12" t="s">
        <v>20</v>
      </c>
      <c r="C9" s="10"/>
      <c r="E9" s="17" t="s">
        <v>21</v>
      </c>
      <c r="F9" s="14">
        <f>COUNTIF(J14:J61,"Inconsistente")</f>
        <v>0</v>
      </c>
      <c r="G9" s="10"/>
      <c r="I9" s="17" t="s">
        <v>21</v>
      </c>
      <c r="J9" s="15" t="s">
        <v>22</v>
      </c>
      <c r="K9" s="10"/>
    </row>
    <row r="10">
      <c r="A10" s="11" t="s">
        <v>23</v>
      </c>
      <c r="B10" s="12" t="s">
        <v>24</v>
      </c>
      <c r="C10" s="10"/>
      <c r="E10" s="18" t="s">
        <v>25</v>
      </c>
      <c r="F10" s="14">
        <f>COUNTIF(J14:J61,"Huérfano")</f>
        <v>1</v>
      </c>
      <c r="G10" s="10"/>
      <c r="I10" s="18" t="s">
        <v>25</v>
      </c>
      <c r="J10" s="15" t="s">
        <v>26</v>
      </c>
      <c r="K10" s="10"/>
    </row>
    <row r="11">
      <c r="E11" s="19" t="s">
        <v>27</v>
      </c>
      <c r="F11" s="14">
        <f>COUNTIF(J14:J61,"Duplicado")</f>
        <v>1</v>
      </c>
      <c r="G11" s="10"/>
      <c r="I11" s="19" t="s">
        <v>27</v>
      </c>
      <c r="J11" s="15" t="s">
        <v>28</v>
      </c>
      <c r="K11" s="10"/>
    </row>
    <row r="13" ht="30.0" customHeight="1">
      <c r="A13" s="20" t="s">
        <v>29</v>
      </c>
      <c r="B13" s="20" t="s">
        <v>30</v>
      </c>
      <c r="C13" s="20" t="s">
        <v>31</v>
      </c>
      <c r="D13" s="20" t="s">
        <v>32</v>
      </c>
      <c r="E13" s="20" t="s">
        <v>33</v>
      </c>
      <c r="F13" s="20" t="s">
        <v>34</v>
      </c>
      <c r="G13" s="20" t="s">
        <v>35</v>
      </c>
      <c r="H13" s="20" t="s">
        <v>36</v>
      </c>
      <c r="I13" s="20" t="s">
        <v>37</v>
      </c>
      <c r="J13" s="20" t="s">
        <v>8</v>
      </c>
      <c r="K13" s="20" t="s">
        <v>38</v>
      </c>
    </row>
    <row r="14" ht="66.75" customHeight="1">
      <c r="A14" s="21" t="s">
        <v>39</v>
      </c>
      <c r="B14" s="22" t="s">
        <v>40</v>
      </c>
      <c r="C14" s="21" t="s">
        <v>41</v>
      </c>
      <c r="D14" s="22" t="s">
        <v>42</v>
      </c>
      <c r="E14" s="21"/>
      <c r="F14" s="22"/>
      <c r="G14" s="21"/>
      <c r="H14" s="22"/>
      <c r="I14" s="21"/>
      <c r="J14" s="21" t="s">
        <v>17</v>
      </c>
      <c r="K14" s="23" t="s">
        <v>43</v>
      </c>
    </row>
    <row r="15" ht="60.0" customHeight="1">
      <c r="A15" s="21" t="s">
        <v>39</v>
      </c>
      <c r="B15" s="22" t="s">
        <v>40</v>
      </c>
      <c r="C15" s="21" t="s">
        <v>44</v>
      </c>
      <c r="D15" s="22" t="s">
        <v>45</v>
      </c>
      <c r="E15" s="21"/>
      <c r="F15" s="22"/>
      <c r="G15" s="21"/>
      <c r="H15" s="22"/>
      <c r="I15" s="21"/>
      <c r="J15" s="21" t="s">
        <v>17</v>
      </c>
      <c r="K15" s="22" t="s">
        <v>46</v>
      </c>
    </row>
    <row r="16" ht="48.75" customHeight="1">
      <c r="A16" s="21" t="s">
        <v>39</v>
      </c>
      <c r="B16" s="22" t="s">
        <v>40</v>
      </c>
      <c r="C16" s="21" t="s">
        <v>47</v>
      </c>
      <c r="D16" s="22" t="s">
        <v>48</v>
      </c>
      <c r="E16" s="21"/>
      <c r="F16" s="22"/>
      <c r="G16" s="21"/>
      <c r="H16" s="22"/>
      <c r="I16" s="21"/>
      <c r="J16" s="21" t="s">
        <v>17</v>
      </c>
      <c r="K16" s="22" t="s">
        <v>49</v>
      </c>
    </row>
    <row r="17" ht="36.75" customHeight="1">
      <c r="A17" s="21" t="s">
        <v>39</v>
      </c>
      <c r="B17" s="22" t="s">
        <v>40</v>
      </c>
      <c r="C17" s="21" t="s">
        <v>50</v>
      </c>
      <c r="D17" s="22" t="s">
        <v>51</v>
      </c>
      <c r="E17" s="21"/>
      <c r="F17" s="22"/>
      <c r="G17" s="21"/>
      <c r="H17" s="22"/>
      <c r="I17" s="21"/>
      <c r="J17" s="21" t="s">
        <v>17</v>
      </c>
      <c r="K17" s="22" t="s">
        <v>52</v>
      </c>
    </row>
    <row r="18" ht="60.0" customHeight="1">
      <c r="A18" s="21" t="s">
        <v>53</v>
      </c>
      <c r="B18" s="22" t="s">
        <v>54</v>
      </c>
      <c r="C18" s="21" t="s">
        <v>55</v>
      </c>
      <c r="D18" s="22" t="s">
        <v>56</v>
      </c>
      <c r="E18" s="21"/>
      <c r="F18" s="22"/>
      <c r="G18" s="21"/>
      <c r="H18" s="22"/>
      <c r="I18" s="21"/>
      <c r="J18" s="21" t="s">
        <v>17</v>
      </c>
      <c r="K18" s="23" t="s">
        <v>57</v>
      </c>
    </row>
    <row r="19" ht="96.75" customHeight="1">
      <c r="A19" s="21" t="s">
        <v>53</v>
      </c>
      <c r="B19" s="22" t="s">
        <v>54</v>
      </c>
      <c r="C19" s="21" t="s">
        <v>58</v>
      </c>
      <c r="D19" s="22" t="s">
        <v>59</v>
      </c>
      <c r="E19" s="21"/>
      <c r="F19" s="22"/>
      <c r="G19" s="21"/>
      <c r="H19" s="22"/>
      <c r="I19" s="21"/>
      <c r="J19" s="21" t="s">
        <v>17</v>
      </c>
      <c r="K19" s="23" t="s">
        <v>60</v>
      </c>
    </row>
    <row r="20" ht="33.75" customHeight="1">
      <c r="A20" s="21" t="s">
        <v>53</v>
      </c>
      <c r="B20" s="22" t="s">
        <v>54</v>
      </c>
      <c r="C20" s="21" t="s">
        <v>61</v>
      </c>
      <c r="D20" s="22" t="s">
        <v>62</v>
      </c>
      <c r="E20" s="21"/>
      <c r="F20" s="22"/>
      <c r="G20" s="21"/>
      <c r="H20" s="22"/>
      <c r="I20" s="21"/>
      <c r="J20" s="21" t="s">
        <v>17</v>
      </c>
      <c r="K20" s="22" t="s">
        <v>63</v>
      </c>
    </row>
    <row r="21" ht="35.25" customHeight="1">
      <c r="A21" s="21" t="s">
        <v>53</v>
      </c>
      <c r="B21" s="22" t="s">
        <v>54</v>
      </c>
      <c r="C21" s="21" t="s">
        <v>64</v>
      </c>
      <c r="D21" s="22" t="s">
        <v>65</v>
      </c>
      <c r="E21" s="21"/>
      <c r="F21" s="22"/>
      <c r="G21" s="21"/>
      <c r="H21" s="22"/>
      <c r="I21" s="21"/>
      <c r="J21" s="21" t="s">
        <v>17</v>
      </c>
      <c r="K21" s="22" t="s">
        <v>66</v>
      </c>
    </row>
    <row r="22" ht="39.0" customHeight="1">
      <c r="A22" s="21" t="s">
        <v>53</v>
      </c>
      <c r="B22" s="22" t="s">
        <v>54</v>
      </c>
      <c r="C22" s="21" t="s">
        <v>67</v>
      </c>
      <c r="D22" s="22" t="s">
        <v>68</v>
      </c>
      <c r="E22" s="21"/>
      <c r="F22" s="22"/>
      <c r="G22" s="21"/>
      <c r="H22" s="22"/>
      <c r="I22" s="21"/>
      <c r="J22" s="21" t="s">
        <v>17</v>
      </c>
      <c r="K22" s="22" t="s">
        <v>69</v>
      </c>
    </row>
    <row r="23" ht="35.25" customHeight="1">
      <c r="A23" s="21" t="s">
        <v>53</v>
      </c>
      <c r="B23" s="22" t="s">
        <v>54</v>
      </c>
      <c r="C23" s="21" t="s">
        <v>70</v>
      </c>
      <c r="D23" s="22" t="s">
        <v>71</v>
      </c>
      <c r="E23" s="21"/>
      <c r="F23" s="22"/>
      <c r="G23" s="21"/>
      <c r="H23" s="22"/>
      <c r="I23" s="21"/>
      <c r="J23" s="21" t="s">
        <v>17</v>
      </c>
      <c r="K23" s="22" t="s">
        <v>72</v>
      </c>
    </row>
    <row r="24" ht="35.25" customHeight="1">
      <c r="A24" s="21" t="s">
        <v>53</v>
      </c>
      <c r="B24" s="23" t="s">
        <v>54</v>
      </c>
      <c r="C24" s="24" t="s">
        <v>73</v>
      </c>
      <c r="D24" s="23" t="s">
        <v>62</v>
      </c>
      <c r="E24" s="21"/>
      <c r="F24" s="22"/>
      <c r="G24" s="21"/>
      <c r="H24" s="22"/>
      <c r="I24" s="21"/>
      <c r="J24" s="24" t="s">
        <v>27</v>
      </c>
      <c r="K24" s="23" t="s">
        <v>74</v>
      </c>
    </row>
    <row r="25" ht="84.0" customHeight="1">
      <c r="A25" s="21" t="s">
        <v>75</v>
      </c>
      <c r="B25" s="22" t="s">
        <v>76</v>
      </c>
      <c r="C25" s="21" t="s">
        <v>77</v>
      </c>
      <c r="D25" s="22" t="s">
        <v>78</v>
      </c>
      <c r="E25" s="21"/>
      <c r="F25" s="22"/>
      <c r="G25" s="21"/>
      <c r="H25" s="22"/>
      <c r="I25" s="21"/>
      <c r="J25" s="21" t="s">
        <v>17</v>
      </c>
      <c r="K25" s="23" t="s">
        <v>79</v>
      </c>
    </row>
    <row r="26" ht="31.5" customHeight="1">
      <c r="A26" s="21" t="s">
        <v>75</v>
      </c>
      <c r="B26" s="22" t="s">
        <v>76</v>
      </c>
      <c r="C26" s="21" t="s">
        <v>80</v>
      </c>
      <c r="D26" s="22" t="s">
        <v>81</v>
      </c>
      <c r="E26" s="25"/>
      <c r="F26" s="26"/>
      <c r="G26" s="25"/>
      <c r="H26" s="26"/>
      <c r="I26" s="25"/>
      <c r="J26" s="21" t="s">
        <v>17</v>
      </c>
      <c r="K26" s="22" t="s">
        <v>82</v>
      </c>
    </row>
    <row r="27" ht="36.75" customHeight="1">
      <c r="A27" s="21" t="s">
        <v>75</v>
      </c>
      <c r="B27" s="22" t="s">
        <v>76</v>
      </c>
      <c r="C27" s="21" t="s">
        <v>83</v>
      </c>
      <c r="D27" s="22" t="s">
        <v>84</v>
      </c>
      <c r="E27" s="25"/>
      <c r="F27" s="26"/>
      <c r="G27" s="25"/>
      <c r="H27" s="26"/>
      <c r="I27" s="25"/>
      <c r="J27" s="21" t="s">
        <v>17</v>
      </c>
      <c r="K27" s="22" t="s">
        <v>85</v>
      </c>
    </row>
    <row r="28" ht="45.75" customHeight="1">
      <c r="A28" s="21" t="s">
        <v>75</v>
      </c>
      <c r="B28" s="22" t="s">
        <v>76</v>
      </c>
      <c r="C28" s="21" t="s">
        <v>86</v>
      </c>
      <c r="D28" s="22" t="s">
        <v>87</v>
      </c>
      <c r="E28" s="25"/>
      <c r="F28" s="26"/>
      <c r="G28" s="25"/>
      <c r="H28" s="26"/>
      <c r="I28" s="25"/>
      <c r="J28" s="21" t="s">
        <v>25</v>
      </c>
      <c r="K28" s="23" t="s">
        <v>88</v>
      </c>
    </row>
    <row r="29" ht="29.25" customHeight="1">
      <c r="A29" s="21" t="s">
        <v>75</v>
      </c>
      <c r="B29" s="22" t="s">
        <v>76</v>
      </c>
      <c r="C29" s="21" t="s">
        <v>89</v>
      </c>
      <c r="D29" s="22" t="s">
        <v>90</v>
      </c>
      <c r="E29" s="25"/>
      <c r="F29" s="26"/>
      <c r="G29" s="25"/>
      <c r="H29" s="26"/>
      <c r="I29" s="25"/>
      <c r="J29" s="21" t="s">
        <v>17</v>
      </c>
      <c r="K29" s="22" t="s">
        <v>91</v>
      </c>
    </row>
    <row r="30" ht="36.0" customHeight="1">
      <c r="A30" s="21" t="s">
        <v>92</v>
      </c>
      <c r="B30" s="22" t="s">
        <v>93</v>
      </c>
      <c r="C30" s="21" t="s">
        <v>94</v>
      </c>
      <c r="D30" s="22" t="s">
        <v>95</v>
      </c>
      <c r="E30" s="25"/>
      <c r="F30" s="26"/>
      <c r="G30" s="25"/>
      <c r="H30" s="26"/>
      <c r="I30" s="25"/>
      <c r="J30" s="21" t="s">
        <v>17</v>
      </c>
      <c r="K30" s="23" t="s">
        <v>96</v>
      </c>
    </row>
    <row r="31" ht="64.5" customHeight="1">
      <c r="A31" s="21" t="s">
        <v>92</v>
      </c>
      <c r="B31" s="22" t="s">
        <v>93</v>
      </c>
      <c r="C31" s="21" t="s">
        <v>97</v>
      </c>
      <c r="D31" s="22" t="s">
        <v>98</v>
      </c>
      <c r="E31" s="25"/>
      <c r="F31" s="26"/>
      <c r="G31" s="25"/>
      <c r="H31" s="26"/>
      <c r="I31" s="25"/>
      <c r="J31" s="21" t="s">
        <v>17</v>
      </c>
      <c r="K31" s="23" t="s">
        <v>99</v>
      </c>
    </row>
    <row r="32" ht="43.5" customHeight="1">
      <c r="A32" s="21" t="s">
        <v>92</v>
      </c>
      <c r="B32" s="22" t="s">
        <v>93</v>
      </c>
      <c r="C32" s="21" t="s">
        <v>100</v>
      </c>
      <c r="D32" s="22" t="s">
        <v>101</v>
      </c>
      <c r="E32" s="25"/>
      <c r="F32" s="26"/>
      <c r="G32" s="25"/>
      <c r="H32" s="26"/>
      <c r="I32" s="25"/>
      <c r="J32" s="21" t="s">
        <v>17</v>
      </c>
      <c r="K32" s="22" t="s">
        <v>102</v>
      </c>
    </row>
    <row r="33" ht="38.25" customHeight="1">
      <c r="A33" s="21" t="s">
        <v>92</v>
      </c>
      <c r="B33" s="22" t="s">
        <v>93</v>
      </c>
      <c r="C33" s="21" t="s">
        <v>103</v>
      </c>
      <c r="D33" s="22" t="s">
        <v>104</v>
      </c>
      <c r="E33" s="25"/>
      <c r="F33" s="26"/>
      <c r="G33" s="25"/>
      <c r="H33" s="26"/>
      <c r="I33" s="25"/>
      <c r="J33" s="21" t="s">
        <v>17</v>
      </c>
      <c r="K33" s="22" t="s">
        <v>105</v>
      </c>
    </row>
    <row r="34" ht="36.75" customHeight="1">
      <c r="A34" s="21" t="s">
        <v>92</v>
      </c>
      <c r="B34" s="22" t="s">
        <v>93</v>
      </c>
      <c r="C34" s="21" t="s">
        <v>106</v>
      </c>
      <c r="D34" s="22" t="s">
        <v>107</v>
      </c>
      <c r="E34" s="25"/>
      <c r="F34" s="26"/>
      <c r="G34" s="25"/>
      <c r="H34" s="26"/>
      <c r="I34" s="25"/>
      <c r="J34" s="21" t="s">
        <v>17</v>
      </c>
      <c r="K34" s="22" t="s">
        <v>108</v>
      </c>
    </row>
    <row r="35" ht="78.0" customHeight="1">
      <c r="A35" s="21" t="s">
        <v>92</v>
      </c>
      <c r="B35" s="22" t="s">
        <v>93</v>
      </c>
      <c r="C35" s="21" t="s">
        <v>109</v>
      </c>
      <c r="D35" s="22" t="s">
        <v>110</v>
      </c>
      <c r="E35" s="25"/>
      <c r="F35" s="26"/>
      <c r="G35" s="25"/>
      <c r="H35" s="26"/>
      <c r="I35" s="25"/>
      <c r="J35" s="21" t="s">
        <v>17</v>
      </c>
      <c r="K35" s="22" t="s">
        <v>111</v>
      </c>
    </row>
    <row r="36" ht="100.5" customHeight="1">
      <c r="A36" s="21" t="s">
        <v>112</v>
      </c>
      <c r="B36" s="22" t="s">
        <v>113</v>
      </c>
      <c r="C36" s="21" t="s">
        <v>114</v>
      </c>
      <c r="D36" s="22" t="s">
        <v>115</v>
      </c>
      <c r="E36" s="25"/>
      <c r="F36" s="26"/>
      <c r="G36" s="25"/>
      <c r="H36" s="26"/>
      <c r="I36" s="25"/>
      <c r="J36" s="21" t="s">
        <v>17</v>
      </c>
      <c r="K36" s="23" t="s">
        <v>116</v>
      </c>
    </row>
    <row r="37" ht="83.25" customHeight="1">
      <c r="A37" s="21" t="s">
        <v>112</v>
      </c>
      <c r="B37" s="22" t="s">
        <v>113</v>
      </c>
      <c r="C37" s="21" t="s">
        <v>117</v>
      </c>
      <c r="D37" s="22" t="s">
        <v>118</v>
      </c>
      <c r="E37" s="25"/>
      <c r="F37" s="26"/>
      <c r="G37" s="25"/>
      <c r="H37" s="26"/>
      <c r="I37" s="25"/>
      <c r="J37" s="21" t="s">
        <v>17</v>
      </c>
      <c r="K37" s="23" t="s">
        <v>119</v>
      </c>
    </row>
    <row r="38" ht="57.75" customHeight="1">
      <c r="A38" s="21" t="s">
        <v>112</v>
      </c>
      <c r="B38" s="22" t="s">
        <v>113</v>
      </c>
      <c r="C38" s="21" t="s">
        <v>120</v>
      </c>
      <c r="D38" s="22" t="s">
        <v>121</v>
      </c>
      <c r="E38" s="25"/>
      <c r="F38" s="26"/>
      <c r="G38" s="25"/>
      <c r="H38" s="26"/>
      <c r="I38" s="25"/>
      <c r="J38" s="21" t="s">
        <v>17</v>
      </c>
      <c r="K38" s="22" t="s">
        <v>122</v>
      </c>
    </row>
    <row r="39" ht="60.0" customHeight="1">
      <c r="A39" s="21" t="s">
        <v>112</v>
      </c>
      <c r="B39" s="22" t="s">
        <v>113</v>
      </c>
      <c r="C39" s="21" t="s">
        <v>123</v>
      </c>
      <c r="D39" s="22" t="s">
        <v>124</v>
      </c>
      <c r="E39" s="25"/>
      <c r="F39" s="26"/>
      <c r="G39" s="25"/>
      <c r="H39" s="26"/>
      <c r="I39" s="25"/>
      <c r="J39" s="21" t="s">
        <v>17</v>
      </c>
      <c r="K39" s="22" t="s">
        <v>125</v>
      </c>
    </row>
    <row r="40" ht="57.75" customHeight="1">
      <c r="A40" s="27" t="s">
        <v>126</v>
      </c>
      <c r="B40" s="22" t="s">
        <v>127</v>
      </c>
      <c r="C40" s="21" t="s">
        <v>128</v>
      </c>
      <c r="D40" s="22" t="s">
        <v>129</v>
      </c>
      <c r="E40" s="25"/>
      <c r="F40" s="26"/>
      <c r="G40" s="25"/>
      <c r="H40" s="26"/>
      <c r="I40" s="25"/>
      <c r="J40" s="21" t="s">
        <v>17</v>
      </c>
      <c r="K40" s="22" t="s">
        <v>130</v>
      </c>
    </row>
    <row r="41" ht="84.0" customHeight="1">
      <c r="A41" s="27" t="s">
        <v>126</v>
      </c>
      <c r="B41" s="22" t="s">
        <v>127</v>
      </c>
      <c r="C41" s="21" t="s">
        <v>131</v>
      </c>
      <c r="D41" s="22" t="s">
        <v>132</v>
      </c>
      <c r="E41" s="25"/>
      <c r="F41" s="26"/>
      <c r="G41" s="25"/>
      <c r="H41" s="26"/>
      <c r="I41" s="25"/>
      <c r="J41" s="21" t="s">
        <v>17</v>
      </c>
      <c r="K41" s="22" t="s">
        <v>133</v>
      </c>
    </row>
    <row r="42" ht="29.25" customHeight="1">
      <c r="A42" s="27" t="s">
        <v>126</v>
      </c>
      <c r="B42" s="22" t="s">
        <v>127</v>
      </c>
      <c r="C42" s="27" t="s">
        <v>134</v>
      </c>
      <c r="D42" s="22" t="s">
        <v>135</v>
      </c>
      <c r="E42" s="25"/>
      <c r="F42" s="26"/>
      <c r="G42" s="25"/>
      <c r="H42" s="26"/>
      <c r="I42" s="25"/>
      <c r="J42" s="21" t="s">
        <v>17</v>
      </c>
      <c r="K42" s="22" t="s">
        <v>136</v>
      </c>
    </row>
    <row r="43" ht="48.75" customHeight="1">
      <c r="A43" s="27" t="s">
        <v>126</v>
      </c>
      <c r="B43" s="28" t="s">
        <v>127</v>
      </c>
      <c r="C43" s="27" t="s">
        <v>137</v>
      </c>
      <c r="D43" s="22" t="s">
        <v>138</v>
      </c>
      <c r="E43" s="25"/>
      <c r="F43" s="26"/>
      <c r="G43" s="25"/>
      <c r="H43" s="26"/>
      <c r="I43" s="25"/>
      <c r="J43" s="21" t="s">
        <v>17</v>
      </c>
      <c r="K43" s="23" t="s">
        <v>139</v>
      </c>
    </row>
    <row r="44" ht="28.5" customHeight="1">
      <c r="A44" s="27" t="s">
        <v>126</v>
      </c>
      <c r="B44" s="28" t="s">
        <v>127</v>
      </c>
      <c r="C44" s="27" t="s">
        <v>140</v>
      </c>
      <c r="D44" s="22" t="s">
        <v>141</v>
      </c>
      <c r="E44" s="25"/>
      <c r="F44" s="26"/>
      <c r="G44" s="25"/>
      <c r="H44" s="26"/>
      <c r="I44" s="25"/>
      <c r="J44" s="21" t="s">
        <v>17</v>
      </c>
      <c r="K44" s="28" t="s">
        <v>142</v>
      </c>
    </row>
    <row r="45" ht="46.5" customHeight="1">
      <c r="A45" s="27" t="s">
        <v>126</v>
      </c>
      <c r="B45" s="28" t="s">
        <v>127</v>
      </c>
      <c r="C45" s="27" t="s">
        <v>143</v>
      </c>
      <c r="D45" s="22" t="s">
        <v>144</v>
      </c>
      <c r="E45" s="25"/>
      <c r="F45" s="26"/>
      <c r="G45" s="25"/>
      <c r="H45" s="26"/>
      <c r="I45" s="25"/>
      <c r="J45" s="21" t="s">
        <v>17</v>
      </c>
      <c r="K45" s="28" t="s">
        <v>145</v>
      </c>
    </row>
    <row r="46" ht="61.5" customHeight="1">
      <c r="A46" s="27" t="s">
        <v>146</v>
      </c>
      <c r="B46" s="26" t="s">
        <v>147</v>
      </c>
      <c r="C46" s="27" t="s">
        <v>148</v>
      </c>
      <c r="D46" s="22" t="s">
        <v>51</v>
      </c>
      <c r="E46" s="25"/>
      <c r="F46" s="26"/>
      <c r="G46" s="25"/>
      <c r="H46" s="26"/>
      <c r="I46" s="25"/>
      <c r="J46" s="21" t="s">
        <v>17</v>
      </c>
      <c r="K46" s="29" t="s">
        <v>149</v>
      </c>
    </row>
    <row r="47" ht="33.0" customHeight="1">
      <c r="A47" s="27" t="s">
        <v>146</v>
      </c>
      <c r="B47" s="26" t="s">
        <v>147</v>
      </c>
      <c r="C47" s="27" t="s">
        <v>150</v>
      </c>
      <c r="D47" s="22" t="s">
        <v>151</v>
      </c>
      <c r="E47" s="25"/>
      <c r="F47" s="26"/>
      <c r="G47" s="25"/>
      <c r="H47" s="26"/>
      <c r="I47" s="25"/>
      <c r="J47" s="21" t="s">
        <v>17</v>
      </c>
      <c r="K47" s="29" t="s">
        <v>152</v>
      </c>
    </row>
    <row r="48" ht="38.25" customHeight="1">
      <c r="A48" s="27" t="s">
        <v>146</v>
      </c>
      <c r="B48" s="26" t="s">
        <v>147</v>
      </c>
      <c r="C48" s="27" t="s">
        <v>153</v>
      </c>
      <c r="D48" s="22" t="s">
        <v>154</v>
      </c>
      <c r="E48" s="25"/>
      <c r="F48" s="26"/>
      <c r="G48" s="25"/>
      <c r="H48" s="26"/>
      <c r="I48" s="25"/>
      <c r="J48" s="21" t="s">
        <v>17</v>
      </c>
      <c r="K48" s="29" t="s">
        <v>155</v>
      </c>
    </row>
    <row r="49" ht="30.0" customHeight="1">
      <c r="A49" s="27" t="s">
        <v>146</v>
      </c>
      <c r="B49" s="26" t="s">
        <v>147</v>
      </c>
      <c r="C49" s="27" t="s">
        <v>156</v>
      </c>
      <c r="D49" s="30" t="s">
        <v>157</v>
      </c>
      <c r="E49" s="25"/>
      <c r="F49" s="26"/>
      <c r="G49" s="25"/>
      <c r="H49" s="26"/>
      <c r="I49" s="25"/>
      <c r="J49" s="21" t="s">
        <v>17</v>
      </c>
      <c r="K49" s="29" t="s">
        <v>158</v>
      </c>
    </row>
    <row r="50" ht="50.25" customHeight="1">
      <c r="A50" s="27" t="s">
        <v>146</v>
      </c>
      <c r="B50" s="26" t="s">
        <v>147</v>
      </c>
      <c r="C50" s="27" t="s">
        <v>159</v>
      </c>
      <c r="D50" s="28" t="s">
        <v>160</v>
      </c>
      <c r="E50" s="25"/>
      <c r="F50" s="26"/>
      <c r="G50" s="25"/>
      <c r="H50" s="26"/>
      <c r="I50" s="25"/>
      <c r="J50" s="21" t="s">
        <v>17</v>
      </c>
      <c r="K50" s="29" t="s">
        <v>161</v>
      </c>
    </row>
    <row r="51" ht="40.5" customHeight="1">
      <c r="A51" s="27" t="s">
        <v>146</v>
      </c>
      <c r="B51" s="26" t="s">
        <v>147</v>
      </c>
      <c r="C51" s="27" t="s">
        <v>162</v>
      </c>
      <c r="D51" s="28" t="s">
        <v>163</v>
      </c>
      <c r="E51" s="25"/>
      <c r="F51" s="26"/>
      <c r="G51" s="25"/>
      <c r="H51" s="26"/>
      <c r="I51" s="25"/>
      <c r="J51" s="21" t="s">
        <v>17</v>
      </c>
      <c r="K51" s="29" t="s">
        <v>164</v>
      </c>
    </row>
    <row r="52" ht="18.0" customHeight="1">
      <c r="A52" s="25"/>
      <c r="B52" s="26"/>
      <c r="C52" s="25"/>
      <c r="D52" s="26"/>
      <c r="E52" s="25"/>
      <c r="F52" s="26"/>
      <c r="G52" s="25"/>
      <c r="H52" s="26"/>
      <c r="I52" s="25"/>
      <c r="J52" s="25"/>
      <c r="K52" s="26"/>
    </row>
    <row r="53" ht="18.0" customHeight="1">
      <c r="A53" s="25"/>
      <c r="B53" s="26"/>
      <c r="C53" s="25"/>
      <c r="D53" s="26"/>
      <c r="E53" s="25"/>
      <c r="F53" s="26"/>
      <c r="G53" s="25"/>
      <c r="H53" s="26"/>
      <c r="I53" s="25"/>
      <c r="J53" s="25"/>
      <c r="K53" s="26"/>
    </row>
    <row r="54" ht="18.0" customHeight="1">
      <c r="A54" s="25"/>
      <c r="B54" s="26"/>
      <c r="C54" s="25"/>
      <c r="D54" s="26"/>
      <c r="E54" s="25"/>
      <c r="F54" s="26"/>
      <c r="G54" s="25"/>
      <c r="H54" s="26"/>
      <c r="I54" s="25"/>
      <c r="J54" s="25"/>
      <c r="K54" s="26"/>
    </row>
    <row r="55" ht="18.0" customHeight="1">
      <c r="A55" s="25"/>
      <c r="B55" s="26"/>
      <c r="C55" s="25"/>
      <c r="D55" s="26"/>
      <c r="E55" s="25"/>
      <c r="F55" s="26"/>
      <c r="G55" s="25"/>
      <c r="H55" s="26"/>
      <c r="I55" s="25"/>
      <c r="J55" s="25"/>
      <c r="K55" s="26"/>
    </row>
    <row r="56" ht="18.0" customHeight="1">
      <c r="A56" s="25"/>
      <c r="B56" s="26"/>
      <c r="C56" s="25"/>
      <c r="D56" s="26"/>
      <c r="E56" s="25"/>
      <c r="F56" s="26"/>
      <c r="G56" s="25"/>
      <c r="H56" s="26"/>
      <c r="I56" s="25"/>
      <c r="J56" s="25"/>
      <c r="K56" s="26"/>
    </row>
    <row r="57" ht="18.0" customHeight="1">
      <c r="A57" s="25"/>
      <c r="B57" s="26"/>
      <c r="C57" s="25"/>
      <c r="D57" s="26"/>
      <c r="E57" s="25"/>
      <c r="F57" s="26"/>
      <c r="G57" s="25"/>
      <c r="H57" s="26"/>
      <c r="I57" s="25"/>
      <c r="J57" s="25"/>
      <c r="K57" s="26"/>
    </row>
    <row r="58" ht="18.0" customHeight="1">
      <c r="A58" s="25"/>
      <c r="B58" s="26"/>
      <c r="C58" s="25"/>
      <c r="D58" s="26"/>
      <c r="E58" s="25"/>
      <c r="F58" s="26"/>
      <c r="G58" s="25"/>
      <c r="H58" s="26"/>
      <c r="I58" s="25"/>
      <c r="J58" s="25"/>
      <c r="K58" s="26"/>
    </row>
    <row r="59" ht="18.0" customHeight="1">
      <c r="A59" s="25"/>
      <c r="B59" s="26"/>
      <c r="C59" s="25"/>
      <c r="D59" s="26"/>
      <c r="E59" s="25"/>
      <c r="F59" s="26"/>
      <c r="G59" s="25"/>
      <c r="H59" s="26"/>
      <c r="I59" s="25"/>
      <c r="J59" s="25"/>
      <c r="K59" s="26"/>
    </row>
    <row r="60" ht="18.0" customHeight="1">
      <c r="A60" s="25"/>
      <c r="B60" s="26"/>
      <c r="C60" s="25"/>
      <c r="D60" s="26"/>
      <c r="E60" s="25"/>
      <c r="F60" s="26"/>
      <c r="G60" s="25"/>
      <c r="H60" s="26"/>
      <c r="I60" s="25"/>
      <c r="J60" s="25"/>
      <c r="K60" s="26"/>
    </row>
    <row r="61" ht="18.0" customHeight="1">
      <c r="A61" s="25"/>
      <c r="B61" s="26"/>
      <c r="C61" s="25"/>
      <c r="D61" s="26"/>
      <c r="E61" s="25"/>
      <c r="F61" s="26"/>
      <c r="G61" s="25"/>
      <c r="H61" s="26"/>
      <c r="I61" s="25"/>
      <c r="J61" s="25"/>
      <c r="K61" s="26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autoFilter ref="$A$13:$K$61"/>
  <mergeCells count="22">
    <mergeCell ref="A1:K1"/>
    <mergeCell ref="A2:K2"/>
    <mergeCell ref="A5:C5"/>
    <mergeCell ref="E5:G5"/>
    <mergeCell ref="I5:K5"/>
    <mergeCell ref="F6:G6"/>
    <mergeCell ref="J6:K6"/>
    <mergeCell ref="F8:G8"/>
    <mergeCell ref="F9:G9"/>
    <mergeCell ref="F10:G10"/>
    <mergeCell ref="F11:G11"/>
    <mergeCell ref="B9:C9"/>
    <mergeCell ref="B10:C10"/>
    <mergeCell ref="J10:K10"/>
    <mergeCell ref="J11:K11"/>
    <mergeCell ref="B6:C6"/>
    <mergeCell ref="B7:C7"/>
    <mergeCell ref="F7:G7"/>
    <mergeCell ref="J7:K7"/>
    <mergeCell ref="B8:C8"/>
    <mergeCell ref="J8:K8"/>
    <mergeCell ref="J9:K9"/>
  </mergeCells>
  <conditionalFormatting sqref="J14:J61">
    <cfRule type="cellIs" dxfId="0" priority="1" operator="equal">
      <formula>"Activo"</formula>
    </cfRule>
  </conditionalFormatting>
  <conditionalFormatting sqref="J14:J61">
    <cfRule type="cellIs" dxfId="1" priority="2" operator="equal">
      <formula>"Pendiente"</formula>
    </cfRule>
  </conditionalFormatting>
  <conditionalFormatting sqref="J14:J61">
    <cfRule type="cellIs" dxfId="2" priority="3" operator="equal">
      <formula>"Inconsistente"</formula>
    </cfRule>
  </conditionalFormatting>
  <conditionalFormatting sqref="J14:J61">
    <cfRule type="cellIs" dxfId="3" priority="4" operator="equal">
      <formula>"Huérfano"</formula>
    </cfRule>
  </conditionalFormatting>
  <conditionalFormatting sqref="J14:J61">
    <cfRule type="cellIs" dxfId="4" priority="5" operator="equal">
      <formula>"Duplicado"</formula>
    </cfRule>
  </conditionalFormatting>
  <dataValidations>
    <dataValidation type="list" allowBlank="1" sqref="J14:J61">
      <formula1>"Activo,Pendiente,Inconsistente,Huérfano,Duplicado"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00000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10.0"/>
    <col customWidth="1" min="2" max="2" width="18.71"/>
    <col customWidth="1" min="3" max="3" width="23.29"/>
    <col customWidth="1" min="4" max="4" width="43.57"/>
    <col customWidth="1" min="5" max="5" width="37.71"/>
    <col customWidth="1" min="6" max="6" width="2.0"/>
    <col customWidth="1" min="7" max="7" width="15.0"/>
    <col customWidth="1" min="8" max="8" width="28.0"/>
  </cols>
  <sheetData>
    <row r="1" ht="24.0" customHeight="1">
      <c r="A1" s="31" t="s">
        <v>165</v>
      </c>
      <c r="B1" s="2"/>
      <c r="C1" s="2"/>
      <c r="D1" s="2"/>
      <c r="E1" s="3"/>
      <c r="G1" s="7" t="s">
        <v>166</v>
      </c>
      <c r="H1" s="3"/>
    </row>
    <row r="2">
      <c r="A2" s="32" t="s">
        <v>167</v>
      </c>
      <c r="G2" s="33" t="s">
        <v>25</v>
      </c>
      <c r="H2" s="34" t="s">
        <v>168</v>
      </c>
    </row>
    <row r="3">
      <c r="G3" s="35" t="s">
        <v>169</v>
      </c>
      <c r="H3" s="34" t="s">
        <v>28</v>
      </c>
    </row>
    <row r="4">
      <c r="G4" s="36" t="s">
        <v>170</v>
      </c>
      <c r="H4" s="34" t="s">
        <v>22</v>
      </c>
    </row>
    <row r="5">
      <c r="G5" s="37" t="s">
        <v>171</v>
      </c>
      <c r="H5" s="34" t="s">
        <v>172</v>
      </c>
    </row>
    <row r="7" ht="21.75" customHeight="1">
      <c r="A7" s="20" t="s">
        <v>173</v>
      </c>
      <c r="B7" s="20" t="s">
        <v>174</v>
      </c>
      <c r="C7" s="20" t="s">
        <v>175</v>
      </c>
      <c r="D7" s="20" t="s">
        <v>176</v>
      </c>
      <c r="E7" s="20" t="s">
        <v>177</v>
      </c>
    </row>
    <row r="8" ht="74.25" customHeight="1">
      <c r="A8" s="38" t="s">
        <v>178</v>
      </c>
      <c r="B8" s="38" t="s">
        <v>169</v>
      </c>
      <c r="C8" s="39" t="s">
        <v>179</v>
      </c>
      <c r="D8" s="39" t="s">
        <v>180</v>
      </c>
      <c r="E8" s="39" t="s">
        <v>181</v>
      </c>
    </row>
    <row r="9" ht="55.5" customHeight="1">
      <c r="A9" s="38" t="s">
        <v>182</v>
      </c>
      <c r="B9" s="38" t="s">
        <v>25</v>
      </c>
      <c r="C9" s="39" t="s">
        <v>86</v>
      </c>
      <c r="D9" s="39" t="s">
        <v>183</v>
      </c>
      <c r="E9" s="39" t="s">
        <v>184</v>
      </c>
    </row>
    <row r="10" ht="61.5" customHeight="1">
      <c r="A10" s="38" t="s">
        <v>185</v>
      </c>
      <c r="B10" s="38" t="s">
        <v>170</v>
      </c>
      <c r="C10" s="39" t="s">
        <v>186</v>
      </c>
      <c r="D10" s="40" t="s">
        <v>187</v>
      </c>
      <c r="E10" s="40" t="s">
        <v>188</v>
      </c>
    </row>
    <row r="11" ht="79.5" customHeight="1">
      <c r="A11" s="38" t="s">
        <v>189</v>
      </c>
      <c r="B11" s="38" t="s">
        <v>170</v>
      </c>
      <c r="C11" s="40" t="s">
        <v>190</v>
      </c>
      <c r="D11" s="39" t="s">
        <v>191</v>
      </c>
      <c r="E11" s="39" t="s">
        <v>192</v>
      </c>
    </row>
    <row r="12" ht="69.75" customHeight="1">
      <c r="A12" s="38" t="s">
        <v>193</v>
      </c>
      <c r="B12" s="38" t="s">
        <v>170</v>
      </c>
      <c r="C12" s="39" t="s">
        <v>114</v>
      </c>
      <c r="D12" s="40" t="s">
        <v>194</v>
      </c>
      <c r="E12" s="39" t="s">
        <v>195</v>
      </c>
    </row>
    <row r="13" ht="69.75" customHeight="1">
      <c r="A13" s="38" t="s">
        <v>196</v>
      </c>
      <c r="B13" s="38" t="s">
        <v>171</v>
      </c>
      <c r="C13" s="39" t="s">
        <v>197</v>
      </c>
      <c r="D13" s="39" t="s">
        <v>198</v>
      </c>
      <c r="E13" s="39" t="s">
        <v>199</v>
      </c>
    </row>
    <row r="14" ht="75.75" customHeight="1">
      <c r="A14" s="41" t="s">
        <v>200</v>
      </c>
      <c r="B14" s="41" t="s">
        <v>170</v>
      </c>
      <c r="C14" s="40" t="s">
        <v>201</v>
      </c>
      <c r="D14" s="40" t="s">
        <v>202</v>
      </c>
      <c r="E14" s="40" t="s">
        <v>203</v>
      </c>
    </row>
    <row r="15" ht="94.5" customHeight="1">
      <c r="A15" s="42" t="s">
        <v>204</v>
      </c>
      <c r="B15" s="43" t="s">
        <v>171</v>
      </c>
      <c r="C15" s="44" t="s">
        <v>205</v>
      </c>
      <c r="D15" s="44" t="s">
        <v>206</v>
      </c>
      <c r="E15" s="44" t="s">
        <v>207</v>
      </c>
    </row>
    <row r="16" ht="94.5" customHeight="1">
      <c r="A16" s="42" t="s">
        <v>208</v>
      </c>
      <c r="B16" s="43" t="s">
        <v>171</v>
      </c>
      <c r="C16" s="44" t="s">
        <v>205</v>
      </c>
      <c r="D16" s="44" t="s">
        <v>206</v>
      </c>
      <c r="E16" s="44" t="s">
        <v>207</v>
      </c>
    </row>
    <row r="17" ht="94.5" customHeight="1">
      <c r="A17" s="42" t="s">
        <v>209</v>
      </c>
      <c r="B17" s="43" t="s">
        <v>171</v>
      </c>
      <c r="C17" s="44" t="s">
        <v>205</v>
      </c>
      <c r="D17" s="44" t="s">
        <v>206</v>
      </c>
      <c r="E17" s="44" t="s">
        <v>207</v>
      </c>
    </row>
    <row r="18" ht="94.5" customHeight="1">
      <c r="A18" s="42" t="s">
        <v>210</v>
      </c>
      <c r="B18" s="43" t="s">
        <v>171</v>
      </c>
      <c r="C18" s="44" t="s">
        <v>205</v>
      </c>
      <c r="D18" s="44" t="s">
        <v>206</v>
      </c>
      <c r="E18" s="44" t="s">
        <v>207</v>
      </c>
    </row>
    <row r="19" ht="94.5" customHeight="1">
      <c r="A19" s="42" t="s">
        <v>211</v>
      </c>
      <c r="B19" s="43" t="s">
        <v>171</v>
      </c>
      <c r="C19" s="44" t="s">
        <v>205</v>
      </c>
      <c r="D19" s="44" t="s">
        <v>206</v>
      </c>
      <c r="E19" s="44" t="s">
        <v>207</v>
      </c>
    </row>
    <row r="20" ht="94.5" customHeight="1">
      <c r="A20" s="42" t="s">
        <v>212</v>
      </c>
      <c r="B20" s="43" t="s">
        <v>171</v>
      </c>
      <c r="C20" s="44" t="s">
        <v>205</v>
      </c>
      <c r="D20" s="44" t="s">
        <v>206</v>
      </c>
      <c r="E20" s="44" t="s">
        <v>207</v>
      </c>
    </row>
    <row r="21" ht="94.5" customHeight="1">
      <c r="A21" s="42" t="s">
        <v>213</v>
      </c>
      <c r="B21" s="43" t="s">
        <v>171</v>
      </c>
      <c r="C21" s="44" t="s">
        <v>205</v>
      </c>
      <c r="D21" s="44" t="s">
        <v>206</v>
      </c>
      <c r="E21" s="44" t="s">
        <v>207</v>
      </c>
    </row>
    <row r="22" ht="94.5" customHeight="1">
      <c r="A22" s="42" t="s">
        <v>214</v>
      </c>
      <c r="B22" s="43" t="s">
        <v>171</v>
      </c>
      <c r="C22" s="44" t="s">
        <v>205</v>
      </c>
      <c r="D22" s="44" t="s">
        <v>206</v>
      </c>
      <c r="E22" s="44" t="s">
        <v>207</v>
      </c>
    </row>
    <row r="23" ht="94.5" customHeight="1">
      <c r="A23" s="42" t="s">
        <v>215</v>
      </c>
      <c r="B23" s="43" t="s">
        <v>171</v>
      </c>
      <c r="C23" s="44" t="s">
        <v>205</v>
      </c>
      <c r="D23" s="44" t="s">
        <v>206</v>
      </c>
      <c r="E23" s="44" t="s">
        <v>207</v>
      </c>
    </row>
    <row r="24" ht="94.5" customHeight="1">
      <c r="A24" s="42" t="s">
        <v>216</v>
      </c>
      <c r="B24" s="43" t="s">
        <v>171</v>
      </c>
      <c r="C24" s="44" t="s">
        <v>205</v>
      </c>
      <c r="D24" s="44" t="s">
        <v>206</v>
      </c>
      <c r="E24" s="44" t="s">
        <v>207</v>
      </c>
    </row>
    <row r="25" ht="94.5" customHeight="1">
      <c r="A25" s="42" t="s">
        <v>217</v>
      </c>
      <c r="B25" s="43" t="s">
        <v>171</v>
      </c>
      <c r="C25" s="44" t="s">
        <v>205</v>
      </c>
      <c r="D25" s="44" t="s">
        <v>206</v>
      </c>
      <c r="E25" s="44" t="s">
        <v>207</v>
      </c>
    </row>
    <row r="26" ht="94.5" customHeight="1">
      <c r="A26" s="42" t="s">
        <v>218</v>
      </c>
      <c r="B26" s="43" t="s">
        <v>171</v>
      </c>
      <c r="C26" s="44" t="s">
        <v>205</v>
      </c>
      <c r="D26" s="44" t="s">
        <v>206</v>
      </c>
      <c r="E26" s="44" t="s">
        <v>207</v>
      </c>
    </row>
    <row r="27" ht="94.5" customHeight="1">
      <c r="A27" s="42" t="s">
        <v>219</v>
      </c>
      <c r="B27" s="43" t="s">
        <v>171</v>
      </c>
      <c r="C27" s="44" t="s">
        <v>205</v>
      </c>
      <c r="D27" s="44" t="s">
        <v>206</v>
      </c>
      <c r="E27" s="44" t="s">
        <v>207</v>
      </c>
    </row>
    <row r="28" ht="94.5" customHeight="1">
      <c r="A28" s="42" t="s">
        <v>220</v>
      </c>
      <c r="B28" s="43" t="s">
        <v>171</v>
      </c>
      <c r="C28" s="44" t="s">
        <v>205</v>
      </c>
      <c r="D28" s="44" t="s">
        <v>206</v>
      </c>
      <c r="E28" s="44" t="s">
        <v>207</v>
      </c>
    </row>
    <row r="29" ht="94.5" customHeight="1">
      <c r="A29" s="42" t="s">
        <v>221</v>
      </c>
      <c r="B29" s="43" t="s">
        <v>171</v>
      </c>
      <c r="C29" s="44" t="s">
        <v>205</v>
      </c>
      <c r="D29" s="44" t="s">
        <v>206</v>
      </c>
      <c r="E29" s="44" t="s">
        <v>207</v>
      </c>
    </row>
    <row r="30" ht="94.5" customHeight="1">
      <c r="A30" s="42" t="s">
        <v>222</v>
      </c>
      <c r="B30" s="43" t="s">
        <v>171</v>
      </c>
      <c r="C30" s="44" t="s">
        <v>205</v>
      </c>
      <c r="D30" s="44" t="s">
        <v>206</v>
      </c>
      <c r="E30" s="44" t="s">
        <v>207</v>
      </c>
    </row>
    <row r="31" ht="94.5" customHeight="1">
      <c r="A31" s="42" t="s">
        <v>223</v>
      </c>
      <c r="B31" s="43" t="s">
        <v>171</v>
      </c>
      <c r="C31" s="44" t="s">
        <v>205</v>
      </c>
      <c r="D31" s="44" t="s">
        <v>206</v>
      </c>
      <c r="E31" s="44" t="s">
        <v>207</v>
      </c>
    </row>
    <row r="32" ht="94.5" customHeight="1">
      <c r="A32" s="42" t="s">
        <v>224</v>
      </c>
      <c r="B32" s="43" t="s">
        <v>171</v>
      </c>
      <c r="C32" s="44" t="s">
        <v>205</v>
      </c>
      <c r="D32" s="44" t="s">
        <v>206</v>
      </c>
      <c r="E32" s="44" t="s">
        <v>207</v>
      </c>
    </row>
    <row r="33" ht="94.5" customHeight="1">
      <c r="A33" s="42" t="s">
        <v>225</v>
      </c>
      <c r="B33" s="43" t="s">
        <v>171</v>
      </c>
      <c r="C33" s="44" t="s">
        <v>205</v>
      </c>
      <c r="D33" s="44" t="s">
        <v>206</v>
      </c>
      <c r="E33" s="44" t="s">
        <v>207</v>
      </c>
    </row>
    <row r="34" ht="94.5" customHeight="1">
      <c r="A34" s="42" t="s">
        <v>226</v>
      </c>
      <c r="B34" s="43" t="s">
        <v>171</v>
      </c>
      <c r="C34" s="44" t="s">
        <v>205</v>
      </c>
      <c r="D34" s="44" t="s">
        <v>206</v>
      </c>
      <c r="E34" s="44" t="s">
        <v>207</v>
      </c>
    </row>
    <row r="35" ht="94.5" customHeight="1">
      <c r="A35" s="42" t="s">
        <v>227</v>
      </c>
      <c r="B35" s="43" t="s">
        <v>171</v>
      </c>
      <c r="C35" s="44" t="s">
        <v>205</v>
      </c>
      <c r="D35" s="44" t="s">
        <v>206</v>
      </c>
      <c r="E35" s="44" t="s">
        <v>207</v>
      </c>
    </row>
    <row r="36" ht="94.5" customHeight="1">
      <c r="A36" s="42" t="s">
        <v>228</v>
      </c>
      <c r="B36" s="43" t="s">
        <v>171</v>
      </c>
      <c r="C36" s="44" t="s">
        <v>205</v>
      </c>
      <c r="D36" s="44" t="s">
        <v>206</v>
      </c>
      <c r="E36" s="44" t="s">
        <v>207</v>
      </c>
    </row>
    <row r="37" ht="94.5" customHeight="1">
      <c r="A37" s="42" t="s">
        <v>229</v>
      </c>
      <c r="B37" s="43" t="s">
        <v>171</v>
      </c>
      <c r="C37" s="44" t="s">
        <v>205</v>
      </c>
      <c r="D37" s="44" t="s">
        <v>206</v>
      </c>
      <c r="E37" s="44" t="s">
        <v>207</v>
      </c>
    </row>
    <row r="38" ht="94.5" customHeight="1">
      <c r="A38" s="42" t="s">
        <v>230</v>
      </c>
      <c r="B38" s="43" t="s">
        <v>171</v>
      </c>
      <c r="C38" s="44" t="s">
        <v>205</v>
      </c>
      <c r="D38" s="44" t="s">
        <v>206</v>
      </c>
      <c r="E38" s="44" t="s">
        <v>207</v>
      </c>
    </row>
    <row r="39" ht="94.5" customHeight="1">
      <c r="A39" s="42" t="s">
        <v>231</v>
      </c>
      <c r="B39" s="43" t="s">
        <v>171</v>
      </c>
      <c r="C39" s="44" t="s">
        <v>205</v>
      </c>
      <c r="D39" s="44" t="s">
        <v>206</v>
      </c>
      <c r="E39" s="44" t="s">
        <v>207</v>
      </c>
    </row>
    <row r="40" ht="94.5" customHeight="1">
      <c r="A40" s="42" t="s">
        <v>232</v>
      </c>
      <c r="B40" s="43" t="s">
        <v>171</v>
      </c>
      <c r="C40" s="44" t="s">
        <v>205</v>
      </c>
      <c r="D40" s="44" t="s">
        <v>206</v>
      </c>
      <c r="E40" s="44" t="s">
        <v>207</v>
      </c>
    </row>
    <row r="41" ht="18.0" customHeight="1">
      <c r="A41" s="45"/>
      <c r="B41" s="45"/>
      <c r="C41" s="46"/>
      <c r="D41" s="46"/>
      <c r="E41" s="46"/>
    </row>
    <row r="42" ht="18.0" customHeight="1">
      <c r="A42" s="45"/>
      <c r="B42" s="45"/>
      <c r="C42" s="46"/>
      <c r="D42" s="46"/>
      <c r="E42" s="46"/>
    </row>
    <row r="43" ht="18.0" customHeight="1">
      <c r="A43" s="45"/>
      <c r="B43" s="45"/>
      <c r="C43" s="46"/>
      <c r="D43" s="46"/>
      <c r="E43" s="46"/>
    </row>
    <row r="44" ht="18.0" customHeight="1">
      <c r="A44" s="45"/>
      <c r="B44" s="45"/>
      <c r="C44" s="46"/>
      <c r="D44" s="46"/>
      <c r="E44" s="46"/>
    </row>
    <row r="45" ht="15.75" customHeight="1">
      <c r="A45" s="45"/>
      <c r="B45" s="45"/>
      <c r="C45" s="46"/>
      <c r="D45" s="46"/>
      <c r="E45" s="46"/>
    </row>
    <row r="46" ht="15.75" customHeight="1">
      <c r="A46" s="45"/>
      <c r="B46" s="45"/>
      <c r="C46" s="46"/>
      <c r="D46" s="46"/>
      <c r="E46" s="46"/>
    </row>
    <row r="47" ht="15.75" customHeight="1">
      <c r="A47" s="45"/>
      <c r="B47" s="45"/>
      <c r="C47" s="46"/>
      <c r="D47" s="46"/>
      <c r="E47" s="46"/>
    </row>
    <row r="48" ht="15.75" customHeight="1">
      <c r="A48" s="45"/>
      <c r="B48" s="45"/>
      <c r="C48" s="46"/>
      <c r="D48" s="46"/>
      <c r="E48" s="46"/>
    </row>
    <row r="49" ht="15.75" customHeight="1">
      <c r="A49" s="45"/>
      <c r="B49" s="45"/>
      <c r="C49" s="46"/>
      <c r="D49" s="46"/>
      <c r="E49" s="46"/>
    </row>
    <row r="50" ht="15.75" customHeight="1">
      <c r="A50" s="45"/>
      <c r="B50" s="45"/>
      <c r="C50" s="46"/>
      <c r="D50" s="46"/>
      <c r="E50" s="46"/>
    </row>
    <row r="51" ht="15.75" customHeight="1">
      <c r="A51" s="45"/>
      <c r="B51" s="45"/>
      <c r="C51" s="46"/>
      <c r="D51" s="46"/>
      <c r="E51" s="46"/>
    </row>
    <row r="52" ht="15.75" customHeight="1">
      <c r="A52" s="45"/>
      <c r="B52" s="45"/>
      <c r="C52" s="46"/>
      <c r="D52" s="46"/>
      <c r="E52" s="46"/>
    </row>
    <row r="53" ht="15.75" customHeight="1">
      <c r="A53" s="45"/>
      <c r="B53" s="45"/>
      <c r="C53" s="46"/>
      <c r="D53" s="46"/>
      <c r="E53" s="46"/>
    </row>
    <row r="54" ht="15.75" customHeight="1">
      <c r="A54" s="45"/>
      <c r="B54" s="45"/>
      <c r="C54" s="46"/>
      <c r="D54" s="46"/>
      <c r="E54" s="46"/>
    </row>
    <row r="55" ht="15.75" customHeight="1">
      <c r="A55" s="45"/>
      <c r="B55" s="45"/>
      <c r="C55" s="46"/>
      <c r="D55" s="46"/>
      <c r="E55" s="46"/>
    </row>
    <row r="56" ht="15.75" customHeight="1">
      <c r="A56" s="45"/>
      <c r="B56" s="45"/>
      <c r="C56" s="46"/>
      <c r="D56" s="46"/>
      <c r="E56" s="46"/>
    </row>
    <row r="57" ht="15.75" customHeight="1">
      <c r="A57" s="45"/>
      <c r="B57" s="45"/>
      <c r="C57" s="46"/>
      <c r="D57" s="46"/>
      <c r="E57" s="46"/>
    </row>
    <row r="58" ht="15.75" customHeight="1">
      <c r="A58" s="45"/>
      <c r="B58" s="45"/>
      <c r="C58" s="46"/>
      <c r="D58" s="46"/>
      <c r="E58" s="46"/>
    </row>
    <row r="59" ht="15.75" customHeight="1">
      <c r="A59" s="45"/>
      <c r="B59" s="45"/>
      <c r="C59" s="46"/>
      <c r="D59" s="46"/>
      <c r="E59" s="46"/>
    </row>
    <row r="60" ht="15.75" customHeight="1">
      <c r="A60" s="45"/>
      <c r="B60" s="45"/>
      <c r="C60" s="46"/>
      <c r="D60" s="46"/>
      <c r="E60" s="46"/>
    </row>
    <row r="61" ht="15.75" customHeight="1">
      <c r="A61" s="45"/>
      <c r="B61" s="45"/>
      <c r="C61" s="46"/>
      <c r="D61" s="46"/>
      <c r="E61" s="46"/>
    </row>
    <row r="62" ht="15.75" customHeight="1">
      <c r="A62" s="45"/>
      <c r="B62" s="45"/>
      <c r="C62" s="46"/>
      <c r="D62" s="46"/>
      <c r="E62" s="46"/>
    </row>
    <row r="63" ht="15.75" customHeight="1">
      <c r="A63" s="45"/>
      <c r="B63" s="45"/>
      <c r="C63" s="46"/>
      <c r="D63" s="46"/>
      <c r="E63" s="46"/>
    </row>
    <row r="64" ht="15.75" customHeight="1">
      <c r="A64" s="45"/>
      <c r="B64" s="45"/>
      <c r="C64" s="46"/>
      <c r="D64" s="46"/>
      <c r="E64" s="46"/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7:$E$44"/>
  <mergeCells count="3">
    <mergeCell ref="A1:E1"/>
    <mergeCell ref="G1:H1"/>
    <mergeCell ref="A2:E2"/>
  </mergeCells>
  <conditionalFormatting sqref="B8:B64">
    <cfRule type="cellIs" dxfId="3" priority="1" operator="equal">
      <formula>"Huérfano"</formula>
    </cfRule>
  </conditionalFormatting>
  <conditionalFormatting sqref="B8:B64">
    <cfRule type="cellIs" dxfId="4" priority="2" operator="equal">
      <formula>"Duplicidad"</formula>
    </cfRule>
  </conditionalFormatting>
  <conditionalFormatting sqref="B8:B64">
    <cfRule type="cellIs" dxfId="2" priority="3" operator="equal">
      <formula>"Inconsistencia"</formula>
    </cfRule>
  </conditionalFormatting>
  <conditionalFormatting sqref="B8:B64">
    <cfRule type="cellIs" dxfId="5" priority="4" operator="equal">
      <formula>"Vacío"</formula>
    </cfRule>
  </conditionalFormatting>
  <dataValidations>
    <dataValidation type="list" allowBlank="1" sqref="E10">
      <formula1>"Revisar origen,Consolidar,Revisar especificación,Completar,Eliminar,Crear elemento faltante,Otra (especificar),Verificar con Equipo 5 si esos RF vendrán en entrega posterior"</formula1>
    </dataValidation>
    <dataValidation type="list" allowBlank="1" sqref="B8:B64">
      <formula1>"Huérfano,Duplicidad,Inconsistencia,Vacío"</formula1>
    </dataValidation>
    <dataValidation type="list" allowBlank="1" sqref="E11">
      <formula1>"Revisar origen,Consolidar,Revisar especificación,Completar,Eliminar,Crear elemento faltante,Documentar justificación,Otra (especificar),Equipo 5 debe asociarlo a un RF o justificar su existencia"</formula1>
    </dataValidation>
    <dataValidation type="list" allowBlank="1" sqref="E12:E64">
      <formula1>"Revisar origen,Consolidar,Revisar especificación,Completar,Eliminar,Crear elemento faltante,Documentar justificación,Otra (especificar)"</formula1>
    </dataValidation>
    <dataValidation type="list" allowBlank="1" sqref="E8">
      <formula1>"Revisar origen,Consolidar,Revisar especificación,Completar,Eliminar,Crear elemento faltante,Documentar justificación,Otra (especificar),Solicitar a Equipo 5 que complete la tabla RF"</formula1>
    </dataValidation>
    <dataValidation type="list" allowBlank="1" sqref="E9">
      <formula1>"Revisar origen,Consolidar,Revisar especificación,Completar,Eliminar,Eliminar RST-011"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2026-06-21T22:22:02Z</dcterms:created>
  <dc:creator>Aaron Burac</dc:creator>
</cp:coreProperties>
</file>